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5851073-my.sharepoint.com/personal/mp_ecopile_com/Documents/"/>
    </mc:Choice>
  </mc:AlternateContent>
  <xr:revisionPtr revIDLastSave="0" documentId="8_{0DE20549-6725-4AAB-9B0D-7DFF2C76BA02}" xr6:coauthVersionLast="47" xr6:coauthVersionMax="47" xr10:uidLastSave="{00000000-0000-0000-0000-000000000000}"/>
  <bookViews>
    <workbookView xWindow="-120" yWindow="-120" windowWidth="29040" windowHeight="15840" xr2:uid="{CD47ACF1-791E-45A6-8B14-587AEEB1A996}"/>
  </bookViews>
  <sheets>
    <sheet name="Comparison" sheetId="1" r:id="rId1"/>
    <sheet name="Labor&amp; equip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7" i="1"/>
  <c r="E59" i="1"/>
  <c r="C59" i="1"/>
  <c r="E58" i="1"/>
  <c r="C58" i="1"/>
  <c r="E57" i="1"/>
  <c r="C57" i="1"/>
  <c r="B59" i="1"/>
  <c r="B58" i="1"/>
  <c r="B57" i="1"/>
  <c r="E49" i="1"/>
  <c r="B49" i="1"/>
  <c r="D19" i="2"/>
  <c r="D12" i="2"/>
  <c r="D11" i="2"/>
  <c r="D10" i="2"/>
  <c r="D13" i="2" s="1"/>
  <c r="D14" i="2" s="1"/>
  <c r="D9" i="2"/>
  <c r="E43" i="1"/>
  <c r="B43" i="1"/>
  <c r="C7" i="1"/>
  <c r="E32" i="1" s="1"/>
  <c r="F32" i="1" s="1"/>
  <c r="F31" i="1"/>
  <c r="G31" i="1" s="1"/>
  <c r="F29" i="1"/>
  <c r="C29" i="1"/>
  <c r="C8" i="1"/>
  <c r="E6" i="1"/>
  <c r="E28" i="1" s="1"/>
  <c r="F28" i="1" s="1"/>
  <c r="G3" i="1"/>
  <c r="I3" i="1"/>
  <c r="F52" i="1"/>
  <c r="C52" i="1"/>
  <c r="F45" i="1"/>
  <c r="B45" i="1"/>
  <c r="C45" i="1" s="1"/>
  <c r="E42" i="1"/>
  <c r="B42" i="1"/>
  <c r="F33" i="1"/>
  <c r="C33" i="1"/>
  <c r="C32" i="1"/>
  <c r="B32" i="1"/>
  <c r="B30" i="1"/>
  <c r="B28" i="1"/>
  <c r="C28" i="1" s="1"/>
  <c r="B27" i="1"/>
  <c r="E26" i="1"/>
  <c r="F44" i="1" s="1"/>
  <c r="B26" i="1"/>
  <c r="G33" i="1" l="1"/>
  <c r="D21" i="2"/>
  <c r="D15" i="2"/>
  <c r="D22" i="2" s="1"/>
  <c r="G32" i="1"/>
  <c r="F30" i="1"/>
  <c r="F26" i="1"/>
  <c r="G45" i="1"/>
  <c r="G28" i="1"/>
  <c r="C43" i="1"/>
  <c r="C42" i="1"/>
  <c r="C30" i="1"/>
  <c r="C26" i="1"/>
  <c r="F43" i="1"/>
  <c r="F47" i="1"/>
  <c r="G47" i="1" s="1"/>
  <c r="C44" i="1"/>
  <c r="G44" i="1" s="1"/>
  <c r="F42" i="1"/>
  <c r="F48" i="1" s="1"/>
  <c r="C27" i="1"/>
  <c r="G27" i="1" s="1"/>
  <c r="G29" i="1"/>
  <c r="C34" i="1" l="1"/>
  <c r="C48" i="1"/>
  <c r="B50" i="1" s="1"/>
  <c r="G30" i="1"/>
  <c r="G43" i="1"/>
  <c r="F34" i="1"/>
  <c r="G42" i="1"/>
  <c r="G26" i="1"/>
  <c r="F35" i="1" l="1"/>
  <c r="F37" i="1" s="1"/>
  <c r="G48" i="1"/>
  <c r="G51" i="1"/>
  <c r="F51" i="1"/>
  <c r="G40" i="1" l="1"/>
  <c r="F39" i="1"/>
  <c r="G35" i="1"/>
  <c r="F54" i="1"/>
  <c r="C54" i="1" l="1"/>
  <c r="G54" i="1" s="1"/>
  <c r="F55" i="1" l="1"/>
  <c r="F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Porter</author>
  </authors>
  <commentList>
    <comment ref="E28" authorId="0" shapeId="0" xr:uid="{C6B0490E-B494-40D7-BB56-FB66D9AA0108}">
      <text>
        <r>
          <rPr>
            <b/>
            <sz val="9"/>
            <color indexed="81"/>
            <rFont val="Tahoma"/>
            <family val="2"/>
          </rPr>
          <t>Mark Porter:</t>
        </r>
        <r>
          <rPr>
            <sz val="9"/>
            <color indexed="81"/>
            <rFont val="Tahoma"/>
            <family val="2"/>
          </rPr>
          <t xml:space="preserve">
12" ecobeam
</t>
        </r>
      </text>
    </comment>
    <comment ref="F28" authorId="0" shapeId="0" xr:uid="{25B5595E-86A0-4D4B-82AD-650ADFB21821}">
      <text>
        <r>
          <rPr>
            <b/>
            <sz val="9"/>
            <color indexed="81"/>
            <rFont val="Tahoma"/>
            <family val="2"/>
          </rPr>
          <t>Mark Porter:</t>
        </r>
        <r>
          <rPr>
            <sz val="9"/>
            <color indexed="81"/>
            <rFont val="Tahoma"/>
            <family val="2"/>
          </rPr>
          <t xml:space="preserve">
This using 4 2x12" stringers</t>
        </r>
      </text>
    </comment>
    <comment ref="B30" authorId="0" shapeId="0" xr:uid="{2FAD99F0-3431-45F7-898B-873C1A3A0786}">
      <text>
        <r>
          <rPr>
            <b/>
            <sz val="9"/>
            <color indexed="81"/>
            <rFont val="Tahoma"/>
            <family val="2"/>
          </rPr>
          <t>Mark Porter:</t>
        </r>
        <r>
          <rPr>
            <sz val="9"/>
            <color indexed="81"/>
            <rFont val="Tahoma"/>
            <family val="2"/>
          </rPr>
          <t xml:space="preserve">
4- 5/8" ss bolts 16" with nuts and washers
2 bolts on header and 2 on stringer/ maybe 4
</t>
        </r>
      </text>
    </comment>
    <comment ref="F45" authorId="0" shapeId="0" xr:uid="{8524E2AD-CECA-41A3-A578-A8B86AC4A41A}">
      <text>
        <r>
          <rPr>
            <b/>
            <sz val="9"/>
            <color indexed="81"/>
            <rFont val="Tahoma"/>
            <charset val="1"/>
          </rPr>
          <t>Mark Porter:</t>
        </r>
        <r>
          <rPr>
            <sz val="9"/>
            <color indexed="81"/>
            <rFont val="Tahoma"/>
            <charset val="1"/>
          </rPr>
          <t xml:space="preserve">
only small area between bents that would need decking</t>
        </r>
      </text>
    </comment>
  </commentList>
</comments>
</file>

<file path=xl/sharedStrings.xml><?xml version="1.0" encoding="utf-8"?>
<sst xmlns="http://schemas.openxmlformats.org/spreadsheetml/2006/main" count="109" uniqueCount="100">
  <si>
    <t>10" piling 16'</t>
  </si>
  <si>
    <t>wood piles</t>
  </si>
  <si>
    <t>Ecopile</t>
  </si>
  <si>
    <t>Ecopile 16"</t>
  </si>
  <si>
    <t>Material</t>
  </si>
  <si>
    <t>EcoPile</t>
  </si>
  <si>
    <t xml:space="preserve">12" x 35' PT piles </t>
  </si>
  <si>
    <t>Black Wrap</t>
  </si>
  <si>
    <t>Stringers</t>
  </si>
  <si>
    <t xml:space="preserve">2x12x 20' </t>
  </si>
  <si>
    <t>Labor Pile Install</t>
  </si>
  <si>
    <t>Labor Header/Bolting</t>
  </si>
  <si>
    <t>Labor Decking</t>
  </si>
  <si>
    <t>Labor Boatlift install</t>
  </si>
  <si>
    <t>Dock length in feet</t>
  </si>
  <si>
    <t>x 5' wide</t>
  </si>
  <si>
    <t>Hardware</t>
  </si>
  <si>
    <t>Each pile</t>
  </si>
  <si>
    <t>Composite Decking</t>
  </si>
  <si>
    <t>Boatlift piles PT 12" x 35'</t>
  </si>
  <si>
    <t>Boatlift piles HD 12"x35</t>
  </si>
  <si>
    <t>Boatlift</t>
  </si>
  <si>
    <t>Electrical/Lighting</t>
  </si>
  <si>
    <t>Plumbing</t>
  </si>
  <si>
    <t>16" mono Ecopile with assembled bents</t>
  </si>
  <si>
    <t xml:space="preserve">Feet/distance </t>
  </si>
  <si>
    <t>Piling spacing ft</t>
  </si>
  <si>
    <t>ft</t>
  </si>
  <si>
    <t>Pile/spacing</t>
  </si>
  <si>
    <t>Wood</t>
  </si>
  <si>
    <t>Wood Cost</t>
  </si>
  <si>
    <t>Ecopile/Ecolumber/Eco deck</t>
  </si>
  <si>
    <t>Piling/Count</t>
  </si>
  <si>
    <t xml:space="preserve">Black pile wrap </t>
  </si>
  <si>
    <t>N/A</t>
  </si>
  <si>
    <t>Stringer</t>
  </si>
  <si>
    <t>Headers and blocking</t>
  </si>
  <si>
    <t xml:space="preserve">Bent pre-assemble </t>
  </si>
  <si>
    <t>Decking</t>
  </si>
  <si>
    <t>Decking Screws</t>
  </si>
  <si>
    <t xml:space="preserve">Profit Dist. </t>
  </si>
  <si>
    <t>Total Material only</t>
  </si>
  <si>
    <t>Difference Material Only Cost vs. Wood Sub</t>
  </si>
  <si>
    <t>Material Only Cost %</t>
  </si>
  <si>
    <t>Cost to put piling in</t>
  </si>
  <si>
    <t>Labor / Headers</t>
  </si>
  <si>
    <t>Labor / Stringer install</t>
  </si>
  <si>
    <t>Labor / Decking</t>
  </si>
  <si>
    <t>Labor to place bents</t>
  </si>
  <si>
    <t>TOTAL LABOR COST</t>
  </si>
  <si>
    <t>TOTAL WEEKLY LABOR &amp; EQUIPMENT</t>
  </si>
  <si>
    <t>TOTAL INSTALL TIME</t>
  </si>
  <si>
    <t>Weeks</t>
  </si>
  <si>
    <t>TOTAL LABOR SAVINGS</t>
  </si>
  <si>
    <t xml:space="preserve">Mobilization </t>
  </si>
  <si>
    <t>PROFIT FOR CONTRACTOR</t>
  </si>
  <si>
    <t>Total Cost Material &amp; Labor &amp; Profit</t>
  </si>
  <si>
    <t>Material and Labor</t>
  </si>
  <si>
    <t>Material and Labor %</t>
  </si>
  <si>
    <t>Note:</t>
  </si>
  <si>
    <t>This is a cost comparison for the substructure of a dock comparing PT wood to Ecopile/ composite stringers</t>
  </si>
  <si>
    <t xml:space="preserve">Labor cost is only approximate cost for a contractor to install </t>
  </si>
  <si>
    <t>Does not include boathouse/boatlift</t>
  </si>
  <si>
    <t>Does not include electrical or plumbing</t>
  </si>
  <si>
    <t>change yellow cells for different spacing and labor cost as well as dock size.</t>
  </si>
  <si>
    <t>Wood docks vs. all composite dock with 2x12" Ecostringers with 16" mono Ecopile and pre assembled bents</t>
  </si>
  <si>
    <t>WearDeck decking</t>
  </si>
  <si>
    <t>SLP flowthrow decking</t>
  </si>
  <si>
    <t>Each</t>
  </si>
  <si>
    <t>2x 10x12' PT</t>
  </si>
  <si>
    <t>2"x12"x 20' eco stringer</t>
  </si>
  <si>
    <t>1x6</t>
  </si>
  <si>
    <t>Dealer price LB</t>
  </si>
  <si>
    <t>$ dif/wood</t>
  </si>
  <si>
    <t>Labor</t>
  </si>
  <si>
    <t>50% Insurance/Benefits</t>
  </si>
  <si>
    <t>Supervisor</t>
  </si>
  <si>
    <t>Crew</t>
  </si>
  <si>
    <t>Day rate</t>
  </si>
  <si>
    <t>Weekly Rate</t>
  </si>
  <si>
    <t xml:space="preserve">Equipment Cost Daily </t>
  </si>
  <si>
    <t>Weekly</t>
  </si>
  <si>
    <t xml:space="preserve">Total Daily </t>
  </si>
  <si>
    <t>Total Weekly</t>
  </si>
  <si>
    <t>Wood Dock w/ composite</t>
  </si>
  <si>
    <t>Due to reduced labor and pilings count hardware etc. cost is approximately same as PT wood with composite deck.</t>
  </si>
  <si>
    <t>Same protit for contractor even with about one quarte the time to build</t>
  </si>
  <si>
    <t>Contractor same profit in much reducded time, generating 2 to 4 times profit and revenue</t>
  </si>
  <si>
    <t>1-1/2"x12"</t>
  </si>
  <si>
    <t>Dealer profit</t>
  </si>
  <si>
    <t xml:space="preserve">Difference </t>
  </si>
  <si>
    <t>Workers comp/Longshoreman</t>
  </si>
  <si>
    <t>Barge pushboat/gas</t>
  </si>
  <si>
    <t>Insurance</t>
  </si>
  <si>
    <t>Cost sqare foot walkway only - Material</t>
  </si>
  <si>
    <t>Cost sqare foot walkway only - Labor</t>
  </si>
  <si>
    <t>cost sqare foot total</t>
  </si>
  <si>
    <t>less</t>
  </si>
  <si>
    <t>more</t>
  </si>
  <si>
    <t xml:space="preserve">less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</si>
</sst>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44" fontId="0" fillId="0" borderId="1" xfId="2" applyFont="1" applyBorder="1"/>
    <xf numFmtId="44" fontId="0" fillId="2" borderId="1" xfId="2" applyFont="1" applyFill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" fontId="0" fillId="0" borderId="1" xfId="0" applyNumberFormat="1" applyBorder="1"/>
    <xf numFmtId="44" fontId="0" fillId="3" borderId="1" xfId="2" applyFont="1" applyFill="1" applyBorder="1"/>
    <xf numFmtId="44" fontId="0" fillId="3" borderId="1" xfId="0" applyNumberFormat="1" applyFill="1" applyBorder="1"/>
    <xf numFmtId="44" fontId="0" fillId="0" borderId="0" xfId="0" applyNumberFormat="1"/>
    <xf numFmtId="44" fontId="0" fillId="0" borderId="0" xfId="2" applyFont="1"/>
    <xf numFmtId="44" fontId="0" fillId="0" borderId="1" xfId="0" applyNumberFormat="1" applyBorder="1"/>
    <xf numFmtId="9" fontId="0" fillId="5" borderId="1" xfId="3" applyFont="1" applyFill="1" applyBorder="1"/>
    <xf numFmtId="44" fontId="0" fillId="6" borderId="1" xfId="2" applyFont="1" applyFill="1" applyBorder="1"/>
    <xf numFmtId="9" fontId="0" fillId="3" borderId="1" xfId="3" applyFont="1" applyFill="1" applyBorder="1"/>
    <xf numFmtId="44" fontId="0" fillId="7" borderId="1" xfId="2" applyFont="1" applyFill="1" applyBorder="1"/>
    <xf numFmtId="164" fontId="0" fillId="0" borderId="1" xfId="3" applyNumberFormat="1" applyFont="1" applyBorder="1"/>
    <xf numFmtId="43" fontId="0" fillId="0" borderId="1" xfId="1" applyFont="1" applyBorder="1"/>
    <xf numFmtId="0" fontId="0" fillId="8" borderId="0" xfId="0" applyFill="1"/>
    <xf numFmtId="44" fontId="0" fillId="8" borderId="1" xfId="2" applyFont="1" applyFill="1" applyBorder="1"/>
    <xf numFmtId="44" fontId="0" fillId="9" borderId="1" xfId="0" applyNumberFormat="1" applyFill="1" applyBorder="1"/>
    <xf numFmtId="9" fontId="0" fillId="4" borderId="1" xfId="0" applyNumberFormat="1" applyFill="1" applyBorder="1"/>
    <xf numFmtId="44" fontId="0" fillId="4" borderId="1" xfId="0" applyNumberFormat="1" applyFill="1" applyBorder="1"/>
    <xf numFmtId="44" fontId="0" fillId="8" borderId="1" xfId="0" applyNumberFormat="1" applyFill="1" applyBorder="1"/>
    <xf numFmtId="0" fontId="0" fillId="0" borderId="0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4" fontId="2" fillId="8" borderId="5" xfId="2" applyFont="1" applyFill="1" applyBorder="1" applyAlignment="1"/>
    <xf numFmtId="44" fontId="2" fillId="8" borderId="6" xfId="2" applyFont="1" applyFill="1" applyBorder="1" applyAlignment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9" borderId="2" xfId="0" applyFill="1" applyBorder="1"/>
    <xf numFmtId="0" fontId="0" fillId="0" borderId="10" xfId="0" applyBorder="1"/>
    <xf numFmtId="0" fontId="0" fillId="0" borderId="2" xfId="0" applyFill="1" applyBorder="1"/>
    <xf numFmtId="9" fontId="0" fillId="3" borderId="1" xfId="3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7A50-E949-4AF3-8D66-15D2369C0626}">
  <dimension ref="A1:Q69"/>
  <sheetViews>
    <sheetView tabSelected="1" workbookViewId="0">
      <selection activeCell="F59" sqref="F59"/>
    </sheetView>
  </sheetViews>
  <sheetFormatPr defaultRowHeight="15" x14ac:dyDescent="0.25"/>
  <cols>
    <col min="1" max="1" width="41.42578125" customWidth="1"/>
    <col min="2" max="2" width="11.5703125" bestFit="1" customWidth="1"/>
    <col min="3" max="3" width="12.7109375" customWidth="1"/>
    <col min="4" max="4" width="14.42578125" bestFit="1" customWidth="1"/>
    <col min="5" max="5" width="12" bestFit="1" customWidth="1"/>
    <col min="6" max="6" width="14.42578125" bestFit="1" customWidth="1"/>
    <col min="7" max="7" width="12.28515625" bestFit="1" customWidth="1"/>
    <col min="8" max="8" width="12" bestFit="1" customWidth="1"/>
    <col min="9" max="9" width="13.85546875" customWidth="1"/>
    <col min="10" max="10" width="12.28515625" bestFit="1" customWidth="1"/>
    <col min="11" max="11" width="12" bestFit="1" customWidth="1"/>
    <col min="12" max="12" width="13.42578125" bestFit="1" customWidth="1"/>
    <col min="13" max="13" width="14.140625" bestFit="1" customWidth="1"/>
    <col min="14" max="14" width="11.7109375" customWidth="1"/>
    <col min="15" max="15" width="13.42578125" bestFit="1" customWidth="1"/>
    <col min="16" max="16" width="12.28515625" bestFit="1" customWidth="1"/>
  </cols>
  <sheetData>
    <row r="1" spans="1:13" ht="26.25" x14ac:dyDescent="0.4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L2" t="s">
        <v>72</v>
      </c>
    </row>
    <row r="3" spans="1:13" x14ac:dyDescent="0.25">
      <c r="A3" s="2" t="s">
        <v>0</v>
      </c>
      <c r="B3" s="2">
        <v>16</v>
      </c>
      <c r="C3" s="2" t="s">
        <v>1</v>
      </c>
      <c r="D3" s="2"/>
      <c r="E3" s="3">
        <v>168</v>
      </c>
      <c r="F3" s="2" t="s">
        <v>2</v>
      </c>
      <c r="G3" s="3">
        <f>$B$3*12*$L$3</f>
        <v>288</v>
      </c>
      <c r="H3" s="2" t="s">
        <v>3</v>
      </c>
      <c r="I3" s="3">
        <f>$B$3*27*$L$3</f>
        <v>648</v>
      </c>
      <c r="J3" s="2" t="s">
        <v>4</v>
      </c>
      <c r="K3" s="2" t="s">
        <v>5</v>
      </c>
      <c r="L3" s="4">
        <v>1.5</v>
      </c>
      <c r="M3" s="18"/>
    </row>
    <row r="4" spans="1:13" x14ac:dyDescent="0.25">
      <c r="A4" s="2" t="s">
        <v>6</v>
      </c>
      <c r="B4" s="2"/>
      <c r="C4" s="2"/>
      <c r="D4" s="2"/>
      <c r="E4" s="3">
        <v>700</v>
      </c>
      <c r="F4" s="2" t="s">
        <v>2</v>
      </c>
      <c r="G4" s="3">
        <v>1500</v>
      </c>
      <c r="H4" s="2"/>
      <c r="I4" s="2"/>
      <c r="J4" s="2"/>
      <c r="K4" s="2"/>
      <c r="L4" s="4"/>
      <c r="M4" s="18"/>
    </row>
    <row r="5" spans="1:13" x14ac:dyDescent="0.25">
      <c r="A5" s="2" t="s">
        <v>7</v>
      </c>
      <c r="B5" s="2"/>
      <c r="C5" s="4">
        <v>75</v>
      </c>
      <c r="D5" s="2" t="s">
        <v>68</v>
      </c>
      <c r="E5" s="3"/>
      <c r="F5" s="2"/>
      <c r="G5" s="3"/>
      <c r="H5" s="2"/>
      <c r="I5" s="2"/>
      <c r="J5" s="2" t="s">
        <v>4</v>
      </c>
      <c r="K5" s="2" t="s">
        <v>8</v>
      </c>
      <c r="L5" s="4">
        <v>1.5</v>
      </c>
      <c r="M5" s="18"/>
    </row>
    <row r="6" spans="1:13" x14ac:dyDescent="0.25">
      <c r="A6" s="2" t="s">
        <v>8</v>
      </c>
      <c r="B6" s="2" t="s">
        <v>69</v>
      </c>
      <c r="C6" s="4">
        <v>31</v>
      </c>
      <c r="D6" s="2" t="s">
        <v>9</v>
      </c>
      <c r="E6" s="3">
        <f>($L$5)*11*$F$24</f>
        <v>330</v>
      </c>
      <c r="F6" s="2" t="s">
        <v>70</v>
      </c>
      <c r="G6" s="3"/>
      <c r="H6" s="2"/>
      <c r="I6" s="5"/>
      <c r="J6" s="2"/>
      <c r="K6" s="2"/>
      <c r="L6" s="2"/>
      <c r="M6" s="18"/>
    </row>
    <row r="7" spans="1:13" x14ac:dyDescent="0.25">
      <c r="A7" s="2" t="s">
        <v>67</v>
      </c>
      <c r="B7" s="2" t="s">
        <v>88</v>
      </c>
      <c r="C7" s="27">
        <f>2.3*L7</f>
        <v>5.75</v>
      </c>
      <c r="D7" s="2"/>
      <c r="E7" s="3"/>
      <c r="F7" s="2"/>
      <c r="G7" s="3"/>
      <c r="H7" s="2"/>
      <c r="I7" s="5"/>
      <c r="J7" s="2"/>
      <c r="K7" s="2"/>
      <c r="L7" s="4">
        <v>2.5</v>
      </c>
      <c r="M7" s="18"/>
    </row>
    <row r="8" spans="1:13" x14ac:dyDescent="0.25">
      <c r="A8" s="2" t="s">
        <v>66</v>
      </c>
      <c r="B8" s="2" t="s">
        <v>71</v>
      </c>
      <c r="C8" s="3">
        <f>B15</f>
        <v>9.25</v>
      </c>
      <c r="D8" s="2"/>
      <c r="E8" s="3"/>
      <c r="F8" s="2"/>
      <c r="G8" s="3"/>
      <c r="H8" s="2"/>
      <c r="I8" s="2"/>
      <c r="J8" s="2"/>
      <c r="K8" s="2"/>
      <c r="L8" s="2"/>
    </row>
    <row r="9" spans="1:13" x14ac:dyDescent="0.25">
      <c r="A9" s="2" t="s">
        <v>10</v>
      </c>
      <c r="B9" s="4">
        <v>250</v>
      </c>
      <c r="C9" s="3"/>
      <c r="D9" s="2"/>
      <c r="E9" s="3"/>
      <c r="F9" s="2"/>
      <c r="G9" s="3"/>
      <c r="H9" s="44"/>
      <c r="J9" s="2"/>
      <c r="K9" s="2"/>
      <c r="L9" s="2"/>
    </row>
    <row r="10" spans="1:13" x14ac:dyDescent="0.25">
      <c r="A10" s="2" t="s">
        <v>11</v>
      </c>
      <c r="B10" s="4">
        <v>100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x14ac:dyDescent="0.25">
      <c r="A11" s="2" t="s">
        <v>12</v>
      </c>
      <c r="B11" s="4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x14ac:dyDescent="0.25">
      <c r="A12" s="2" t="s">
        <v>13</v>
      </c>
      <c r="B12" s="4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x14ac:dyDescent="0.25">
      <c r="A13" s="2" t="s">
        <v>14</v>
      </c>
      <c r="B13" s="6">
        <v>300</v>
      </c>
      <c r="C13" s="2" t="s">
        <v>15</v>
      </c>
      <c r="D13" s="2"/>
      <c r="E13" s="2"/>
      <c r="F13" s="2"/>
      <c r="G13" s="2"/>
      <c r="H13" s="2"/>
      <c r="I13" s="2"/>
      <c r="J13" s="2"/>
      <c r="K13" s="2"/>
      <c r="L13" s="2"/>
    </row>
    <row r="14" spans="1:13" x14ac:dyDescent="0.25">
      <c r="A14" s="2" t="s">
        <v>16</v>
      </c>
      <c r="B14" s="4">
        <v>60</v>
      </c>
      <c r="C14" s="2" t="s">
        <v>17</v>
      </c>
      <c r="D14" s="2"/>
      <c r="E14" s="2"/>
      <c r="F14" s="2"/>
      <c r="G14" s="2"/>
      <c r="H14" s="2"/>
      <c r="I14" s="2"/>
      <c r="J14" s="2"/>
      <c r="K14" s="2"/>
      <c r="L14" s="2"/>
    </row>
    <row r="15" spans="1:13" x14ac:dyDescent="0.25">
      <c r="A15" s="2" t="s">
        <v>18</v>
      </c>
      <c r="B15" s="4">
        <v>9.25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x14ac:dyDescent="0.25">
      <c r="A16" s="2" t="s">
        <v>19</v>
      </c>
      <c r="B16" s="4"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7" x14ac:dyDescent="0.25">
      <c r="A17" s="2" t="s">
        <v>20</v>
      </c>
      <c r="B17" s="4"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7" x14ac:dyDescent="0.25">
      <c r="A18" s="2" t="s">
        <v>21</v>
      </c>
      <c r="B18" s="4"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7" x14ac:dyDescent="0.25">
      <c r="A19" s="2" t="s">
        <v>22</v>
      </c>
      <c r="B19" s="4"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7" x14ac:dyDescent="0.25">
      <c r="A20" s="2" t="s">
        <v>23</v>
      </c>
      <c r="B20" s="4">
        <v>0</v>
      </c>
      <c r="C20" s="2"/>
      <c r="D20" s="2"/>
      <c r="E20" s="7"/>
      <c r="F20" s="2"/>
      <c r="G20" s="2"/>
      <c r="H20" s="2"/>
      <c r="I20" s="2"/>
      <c r="J20" s="2"/>
      <c r="K20" s="2"/>
      <c r="L20" s="2"/>
      <c r="N20" s="7"/>
      <c r="O20" s="7"/>
      <c r="P20" s="8"/>
    </row>
    <row r="21" spans="1:17" x14ac:dyDescent="0.25">
      <c r="A21" s="2"/>
      <c r="B21" s="2"/>
      <c r="C21" s="2"/>
      <c r="D21" s="2"/>
      <c r="E21" s="7"/>
      <c r="F21" s="2"/>
      <c r="G21" s="2"/>
      <c r="H21" s="32"/>
      <c r="I21" s="32"/>
      <c r="J21" s="32"/>
      <c r="K21" s="32"/>
      <c r="L21" s="32"/>
      <c r="N21" s="7"/>
      <c r="O21" s="7"/>
      <c r="P21" s="8"/>
    </row>
    <row r="22" spans="1:17" x14ac:dyDescent="0.25">
      <c r="A22" s="2"/>
      <c r="B22" s="35" t="s">
        <v>84</v>
      </c>
      <c r="C22" s="36"/>
      <c r="D22" s="2"/>
      <c r="E22" s="7" t="s">
        <v>24</v>
      </c>
      <c r="F22" s="2"/>
      <c r="G22" s="2"/>
      <c r="H22" s="32"/>
      <c r="I22" s="32"/>
      <c r="J22" s="32"/>
      <c r="K22" s="32"/>
      <c r="L22" s="32"/>
      <c r="N22" s="7"/>
      <c r="O22" s="7"/>
      <c r="P22" s="8"/>
    </row>
    <row r="23" spans="1:17" x14ac:dyDescent="0.25">
      <c r="A23" s="2"/>
      <c r="B23" s="33" t="s">
        <v>38</v>
      </c>
      <c r="C23" s="34"/>
      <c r="D23" s="2"/>
      <c r="E23" s="2"/>
      <c r="F23" s="9" t="s">
        <v>25</v>
      </c>
      <c r="G23" s="2"/>
      <c r="M23" s="8"/>
    </row>
    <row r="24" spans="1:17" x14ac:dyDescent="0.25">
      <c r="A24" s="2" t="s">
        <v>26</v>
      </c>
      <c r="B24" s="10">
        <v>10</v>
      </c>
      <c r="C24" s="2" t="s">
        <v>27</v>
      </c>
      <c r="D24" s="2"/>
      <c r="E24" s="2" t="s">
        <v>28</v>
      </c>
      <c r="F24" s="10">
        <v>20</v>
      </c>
      <c r="G24" s="11" t="s">
        <v>73</v>
      </c>
    </row>
    <row r="25" spans="1:17" x14ac:dyDescent="0.25">
      <c r="A25" s="2"/>
      <c r="B25" s="12" t="s">
        <v>29</v>
      </c>
      <c r="C25" s="12" t="s">
        <v>30</v>
      </c>
      <c r="D25" s="2"/>
      <c r="E25" s="13" t="s">
        <v>31</v>
      </c>
      <c r="F25" s="13"/>
      <c r="G25" s="11"/>
    </row>
    <row r="26" spans="1:17" x14ac:dyDescent="0.25">
      <c r="A26" s="2" t="s">
        <v>32</v>
      </c>
      <c r="B26" s="2">
        <f>($B$13/B24)*2</f>
        <v>60</v>
      </c>
      <c r="C26" s="3">
        <f>B26*168</f>
        <v>10080</v>
      </c>
      <c r="D26" s="3"/>
      <c r="E26" s="14">
        <f>($B$13/F24)</f>
        <v>15</v>
      </c>
      <c r="F26" s="3">
        <f>$I$3*E26</f>
        <v>9720</v>
      </c>
      <c r="G26" s="16">
        <f>F26-C26</f>
        <v>-360</v>
      </c>
      <c r="N26" s="17"/>
      <c r="Q26" s="18"/>
    </row>
    <row r="27" spans="1:17" x14ac:dyDescent="0.25">
      <c r="A27" s="2" t="s">
        <v>33</v>
      </c>
      <c r="B27" s="3">
        <f>C5</f>
        <v>75</v>
      </c>
      <c r="C27" s="3">
        <f>B26*B27</f>
        <v>4500</v>
      </c>
      <c r="D27" s="3"/>
      <c r="E27" s="2" t="s">
        <v>34</v>
      </c>
      <c r="F27" s="2"/>
      <c r="G27" s="16">
        <f>F27-C27</f>
        <v>-4500</v>
      </c>
      <c r="Q27" s="18"/>
    </row>
    <row r="28" spans="1:17" x14ac:dyDescent="0.25">
      <c r="A28" s="2" t="s">
        <v>35</v>
      </c>
      <c r="B28" s="3">
        <f>C6</f>
        <v>31</v>
      </c>
      <c r="C28" s="3">
        <f>(B13/B24)*4*B28</f>
        <v>3720</v>
      </c>
      <c r="D28" s="3"/>
      <c r="E28" s="3">
        <f>E6</f>
        <v>330</v>
      </c>
      <c r="F28" s="3">
        <f>($B$13/F24)*4*E28</f>
        <v>19800</v>
      </c>
      <c r="G28" s="16">
        <f>F28-C28</f>
        <v>16080</v>
      </c>
    </row>
    <row r="29" spans="1:17" x14ac:dyDescent="0.25">
      <c r="A29" s="2" t="s">
        <v>36</v>
      </c>
      <c r="B29" s="3">
        <v>41</v>
      </c>
      <c r="C29" s="3">
        <f>B13/B24*B29</f>
        <v>1230</v>
      </c>
      <c r="D29" s="3"/>
      <c r="E29" s="3">
        <v>500</v>
      </c>
      <c r="F29" s="3">
        <f>($B$13/$F$24)*E29</f>
        <v>7500</v>
      </c>
      <c r="G29" s="16">
        <f>F29-C29</f>
        <v>6270</v>
      </c>
    </row>
    <row r="30" spans="1:17" x14ac:dyDescent="0.25">
      <c r="A30" s="2" t="s">
        <v>16</v>
      </c>
      <c r="B30" s="3">
        <f>B14</f>
        <v>60</v>
      </c>
      <c r="C30" s="19">
        <f>$B$30*B$26</f>
        <v>3600</v>
      </c>
      <c r="D30" s="19"/>
      <c r="E30" s="3">
        <v>40</v>
      </c>
      <c r="F30" s="19">
        <f>E30*E$26</f>
        <v>600</v>
      </c>
      <c r="G30" s="16">
        <f>F30-C30</f>
        <v>-3000</v>
      </c>
    </row>
    <row r="31" spans="1:17" x14ac:dyDescent="0.25">
      <c r="A31" s="2" t="s">
        <v>37</v>
      </c>
      <c r="B31" s="2"/>
      <c r="C31" s="19"/>
      <c r="D31" s="19"/>
      <c r="E31" s="2">
        <v>400</v>
      </c>
      <c r="F31" s="3">
        <f>($B$13/$F$24)*E31</f>
        <v>6000</v>
      </c>
      <c r="G31" s="16">
        <f>F31-C31</f>
        <v>6000</v>
      </c>
    </row>
    <row r="32" spans="1:17" x14ac:dyDescent="0.25">
      <c r="A32" s="2" t="s">
        <v>38</v>
      </c>
      <c r="B32" s="17">
        <f>$B$15</f>
        <v>9.25</v>
      </c>
      <c r="C32" s="19">
        <f>$B$13*5*$B$15</f>
        <v>13875</v>
      </c>
      <c r="D32" s="19"/>
      <c r="E32" s="17">
        <f>$C$7</f>
        <v>5.75</v>
      </c>
      <c r="F32" s="19">
        <f>$B$13*5*$E$32</f>
        <v>8625</v>
      </c>
      <c r="G32" s="16">
        <f t="shared" ref="G32:G35" si="0">F32-C32</f>
        <v>-5250</v>
      </c>
    </row>
    <row r="33" spans="1:8" x14ac:dyDescent="0.25">
      <c r="A33" s="2" t="s">
        <v>39</v>
      </c>
      <c r="B33" s="17">
        <v>1200</v>
      </c>
      <c r="C33" s="19">
        <f>B33</f>
        <v>1200</v>
      </c>
      <c r="D33" s="19"/>
      <c r="E33" s="17"/>
      <c r="F33" s="19">
        <f>E33</f>
        <v>0</v>
      </c>
      <c r="G33" s="16">
        <f t="shared" si="0"/>
        <v>-1200</v>
      </c>
    </row>
    <row r="34" spans="1:8" x14ac:dyDescent="0.25">
      <c r="A34" s="43" t="s">
        <v>41</v>
      </c>
      <c r="B34" s="2"/>
      <c r="C34" s="28">
        <f>SUM(C26:C33)</f>
        <v>38205</v>
      </c>
      <c r="D34" s="19"/>
      <c r="E34" s="17"/>
      <c r="F34" s="28">
        <f>SUM(F26:F33)</f>
        <v>52245</v>
      </c>
      <c r="G34" s="16"/>
    </row>
    <row r="35" spans="1:8" x14ac:dyDescent="0.25">
      <c r="A35" s="2"/>
      <c r="B35" s="19"/>
      <c r="C35" s="19"/>
      <c r="D35" s="19"/>
      <c r="E35" s="30" t="s">
        <v>40</v>
      </c>
      <c r="F35" s="30">
        <f>E36*F34</f>
        <v>10449</v>
      </c>
      <c r="G35" s="30">
        <f t="shared" si="0"/>
        <v>10449</v>
      </c>
      <c r="H35" t="s">
        <v>89</v>
      </c>
    </row>
    <row r="36" spans="1:8" x14ac:dyDescent="0.25">
      <c r="A36" s="2"/>
      <c r="B36" s="19"/>
      <c r="C36" s="19"/>
      <c r="D36" s="19"/>
      <c r="E36" s="29">
        <v>0.2</v>
      </c>
      <c r="F36" s="31"/>
      <c r="G36" s="16"/>
    </row>
    <row r="37" spans="1:8" x14ac:dyDescent="0.25">
      <c r="D37" s="19"/>
      <c r="E37" s="2"/>
      <c r="F37" s="28">
        <f>F34+F35</f>
        <v>62694</v>
      </c>
      <c r="G37" s="15"/>
      <c r="H37" s="17"/>
    </row>
    <row r="38" spans="1:8" x14ac:dyDescent="0.25">
      <c r="A38" s="2"/>
      <c r="B38" s="2"/>
      <c r="C38" s="2"/>
      <c r="D38" s="2"/>
      <c r="E38" s="2"/>
      <c r="F38" s="19"/>
      <c r="G38" s="15"/>
    </row>
    <row r="39" spans="1:8" x14ac:dyDescent="0.25">
      <c r="A39" s="2" t="s">
        <v>42</v>
      </c>
      <c r="B39" s="2"/>
      <c r="C39" s="19"/>
      <c r="D39" s="19"/>
      <c r="E39" s="2"/>
      <c r="F39" s="16">
        <f>F37-C34</f>
        <v>24489</v>
      </c>
      <c r="G39" s="16"/>
    </row>
    <row r="40" spans="1:8" x14ac:dyDescent="0.25">
      <c r="A40" s="2" t="s">
        <v>43</v>
      </c>
      <c r="B40" s="2"/>
      <c r="C40" s="19"/>
      <c r="D40" s="19"/>
      <c r="E40" s="2"/>
      <c r="F40" s="19"/>
      <c r="G40" s="20">
        <f>(F37/C34)-1</f>
        <v>0.64098939929328624</v>
      </c>
      <c r="H40" t="s">
        <v>90</v>
      </c>
    </row>
    <row r="41" spans="1:8" x14ac:dyDescent="0.25">
      <c r="A41" s="2"/>
      <c r="B41" s="2"/>
      <c r="C41" s="19"/>
      <c r="D41" s="19"/>
      <c r="E41" s="2"/>
      <c r="F41" s="19"/>
      <c r="G41" s="2"/>
    </row>
    <row r="42" spans="1:8" x14ac:dyDescent="0.25">
      <c r="A42" s="2" t="s">
        <v>44</v>
      </c>
      <c r="B42" s="3">
        <f>$B$9</f>
        <v>250</v>
      </c>
      <c r="C42" s="3">
        <f>B26*B42</f>
        <v>15000</v>
      </c>
      <c r="D42" s="3"/>
      <c r="E42" s="3">
        <f>$B$9</f>
        <v>250</v>
      </c>
      <c r="F42" s="3">
        <f>$E$26*E42</f>
        <v>3750</v>
      </c>
      <c r="G42" s="16">
        <f>F42-C42</f>
        <v>-11250</v>
      </c>
    </row>
    <row r="43" spans="1:8" x14ac:dyDescent="0.25">
      <c r="A43" s="2" t="s">
        <v>45</v>
      </c>
      <c r="B43" s="3">
        <f>$B$10</f>
        <v>100</v>
      </c>
      <c r="C43" s="3">
        <f>B$26*B43/2</f>
        <v>3000</v>
      </c>
      <c r="D43" s="3"/>
      <c r="E43" s="3">
        <f>$B$10</f>
        <v>100</v>
      </c>
      <c r="F43" s="3">
        <f>$E26*E43</f>
        <v>1500</v>
      </c>
      <c r="G43" s="16">
        <f>F43-C43</f>
        <v>-1500</v>
      </c>
    </row>
    <row r="44" spans="1:8" x14ac:dyDescent="0.25">
      <c r="A44" s="2" t="s">
        <v>46</v>
      </c>
      <c r="B44" s="3">
        <v>50</v>
      </c>
      <c r="C44" s="3">
        <f>(B26/2)*B44*3</f>
        <v>4500</v>
      </c>
      <c r="D44" s="3"/>
      <c r="E44" s="3">
        <v>0</v>
      </c>
      <c r="F44" s="3">
        <f>(E26/2)*E44*3</f>
        <v>0</v>
      </c>
      <c r="G44" s="16">
        <f>F44-C44</f>
        <v>-4500</v>
      </c>
    </row>
    <row r="45" spans="1:8" x14ac:dyDescent="0.25">
      <c r="A45" s="2" t="s">
        <v>47</v>
      </c>
      <c r="B45" s="3">
        <f>$B$11</f>
        <v>8</v>
      </c>
      <c r="C45" s="3">
        <f>B45*$B$13*5</f>
        <v>12000</v>
      </c>
      <c r="D45" s="3"/>
      <c r="E45" s="3">
        <v>8</v>
      </c>
      <c r="F45" s="3">
        <f>(E45*$B$13*5)*0.05</f>
        <v>600</v>
      </c>
      <c r="G45" s="15">
        <f>F45-$C45</f>
        <v>-11400</v>
      </c>
    </row>
    <row r="46" spans="1:8" x14ac:dyDescent="0.25">
      <c r="A46" s="2"/>
      <c r="B46" s="3"/>
      <c r="C46" s="3"/>
      <c r="D46" s="3"/>
      <c r="E46" s="3"/>
      <c r="F46" s="3"/>
      <c r="G46" s="15"/>
    </row>
    <row r="47" spans="1:8" x14ac:dyDescent="0.25">
      <c r="A47" s="2" t="s">
        <v>48</v>
      </c>
      <c r="B47" s="3"/>
      <c r="C47" s="3"/>
      <c r="D47" s="3"/>
      <c r="E47" s="3">
        <v>200</v>
      </c>
      <c r="F47" s="3">
        <f>$E$26*E47</f>
        <v>3000</v>
      </c>
      <c r="G47" s="15">
        <f>F47</f>
        <v>3000</v>
      </c>
    </row>
    <row r="48" spans="1:8" x14ac:dyDescent="0.25">
      <c r="A48" s="2" t="s">
        <v>49</v>
      </c>
      <c r="B48" s="3"/>
      <c r="C48" s="3">
        <f>SUM(C42:C47)</f>
        <v>34500</v>
      </c>
      <c r="D48" s="3"/>
      <c r="E48" s="3"/>
      <c r="F48" s="3">
        <f>SUM(F42:F47)</f>
        <v>8850</v>
      </c>
      <c r="G48" s="16">
        <f>$C$48-F48</f>
        <v>25650</v>
      </c>
    </row>
    <row r="49" spans="1:7" x14ac:dyDescent="0.25">
      <c r="A49" s="2" t="s">
        <v>50</v>
      </c>
      <c r="B49" s="3">
        <f>'Labor&amp; equipment'!D22</f>
        <v>9400</v>
      </c>
      <c r="C49" s="3"/>
      <c r="D49" s="3"/>
      <c r="E49" s="3">
        <f>'Labor&amp; equipment'!D22</f>
        <v>9400</v>
      </c>
      <c r="F49" s="3"/>
      <c r="G49" s="16"/>
    </row>
    <row r="50" spans="1:7" x14ac:dyDescent="0.25">
      <c r="A50" s="2" t="s">
        <v>51</v>
      </c>
      <c r="B50" s="21">
        <f>C48/B49</f>
        <v>3.6702127659574466</v>
      </c>
      <c r="C50" s="3" t="s">
        <v>52</v>
      </c>
      <c r="D50" s="3"/>
      <c r="E50" s="21"/>
      <c r="F50" s="3" t="s">
        <v>52</v>
      </c>
      <c r="G50" s="16"/>
    </row>
    <row r="51" spans="1:7" x14ac:dyDescent="0.25">
      <c r="A51" s="2" t="s">
        <v>53</v>
      </c>
      <c r="B51" s="3"/>
      <c r="C51" s="3"/>
      <c r="D51" s="3"/>
      <c r="E51" s="3"/>
      <c r="F51" s="17">
        <f>$C$48-F48</f>
        <v>25650</v>
      </c>
      <c r="G51" s="22">
        <f>(F48/$C$48)-1</f>
        <v>-0.74347826086956514</v>
      </c>
    </row>
    <row r="52" spans="1:7" x14ac:dyDescent="0.25">
      <c r="A52" s="2" t="s">
        <v>54</v>
      </c>
      <c r="B52" s="3">
        <v>3000</v>
      </c>
      <c r="C52" s="3">
        <f>B52</f>
        <v>3000</v>
      </c>
      <c r="D52" s="3"/>
      <c r="E52" s="3">
        <v>3000</v>
      </c>
      <c r="F52" s="3">
        <f>E52</f>
        <v>3000</v>
      </c>
      <c r="G52" s="22"/>
    </row>
    <row r="53" spans="1:7" x14ac:dyDescent="0.25">
      <c r="A53" s="2" t="s">
        <v>55</v>
      </c>
      <c r="B53" s="2"/>
      <c r="C53" s="23">
        <v>20000</v>
      </c>
      <c r="D53" s="2"/>
      <c r="E53" s="2"/>
      <c r="F53" s="23">
        <v>20000</v>
      </c>
      <c r="G53" s="2"/>
    </row>
    <row r="54" spans="1:7" x14ac:dyDescent="0.25">
      <c r="A54" s="2" t="s">
        <v>56</v>
      </c>
      <c r="B54" s="2"/>
      <c r="C54" s="19">
        <f>C34+C48+C53+C52</f>
        <v>95705</v>
      </c>
      <c r="D54" s="19"/>
      <c r="E54" s="2"/>
      <c r="F54" s="19">
        <f>F37+F48+F53+F52</f>
        <v>94544</v>
      </c>
      <c r="G54" s="16">
        <f>F54-C54</f>
        <v>-1161</v>
      </c>
    </row>
    <row r="55" spans="1:7" x14ac:dyDescent="0.25">
      <c r="A55" s="2" t="s">
        <v>57</v>
      </c>
      <c r="B55" s="2"/>
      <c r="C55" s="2"/>
      <c r="D55" s="2"/>
      <c r="E55" s="2"/>
      <c r="F55" s="16">
        <f>F54-C54</f>
        <v>-1161</v>
      </c>
      <c r="G55" s="2"/>
    </row>
    <row r="56" spans="1:7" x14ac:dyDescent="0.25">
      <c r="A56" s="2" t="s">
        <v>58</v>
      </c>
      <c r="B56" s="2"/>
      <c r="C56" s="19"/>
      <c r="D56" s="19"/>
      <c r="E56" s="2"/>
      <c r="F56" s="46">
        <f>F54/$C$54-1</f>
        <v>-1.2131027637009573E-2</v>
      </c>
      <c r="G56" s="2" t="s">
        <v>97</v>
      </c>
    </row>
    <row r="57" spans="1:7" x14ac:dyDescent="0.25">
      <c r="A57" s="2" t="s">
        <v>94</v>
      </c>
      <c r="B57" s="2">
        <f>$B$13*5</f>
        <v>1500</v>
      </c>
      <c r="C57" s="19">
        <f>C34/B57</f>
        <v>25.47</v>
      </c>
      <c r="D57" s="19"/>
      <c r="E57" s="19">
        <f>F37/B57</f>
        <v>41.795999999999999</v>
      </c>
      <c r="F57" s="20">
        <f>E57/C57-1</f>
        <v>0.64098939929328624</v>
      </c>
      <c r="G57" s="2" t="s">
        <v>98</v>
      </c>
    </row>
    <row r="58" spans="1:7" x14ac:dyDescent="0.25">
      <c r="A58" s="2" t="s">
        <v>95</v>
      </c>
      <c r="B58" s="2">
        <f t="shared" ref="B58:B59" si="1">$B$13*5</f>
        <v>1500</v>
      </c>
      <c r="C58" s="19">
        <f>C48/B58</f>
        <v>23</v>
      </c>
      <c r="D58" s="19"/>
      <c r="E58" s="19">
        <f>F48/B58</f>
        <v>5.9</v>
      </c>
      <c r="F58" s="22">
        <f>E58/C58-1</f>
        <v>-0.74347826086956514</v>
      </c>
      <c r="G58" s="2" t="s">
        <v>97</v>
      </c>
    </row>
    <row r="59" spans="1:7" x14ac:dyDescent="0.25">
      <c r="A59" s="45" t="s">
        <v>96</v>
      </c>
      <c r="B59" s="2">
        <f t="shared" si="1"/>
        <v>1500</v>
      </c>
      <c r="C59" s="19">
        <f>C54/B59</f>
        <v>63.803333333333335</v>
      </c>
      <c r="D59" s="19"/>
      <c r="E59" s="19">
        <f>F54/B59</f>
        <v>63.029333333333334</v>
      </c>
      <c r="F59" s="46">
        <f>E59/C59-1</f>
        <v>-1.2131027637009573E-2</v>
      </c>
      <c r="G59" s="2" t="s">
        <v>99</v>
      </c>
    </row>
    <row r="60" spans="1:7" x14ac:dyDescent="0.25">
      <c r="A60" s="2" t="s">
        <v>59</v>
      </c>
      <c r="B60" s="2"/>
      <c r="C60" s="2"/>
      <c r="D60" s="2"/>
      <c r="E60" s="2"/>
      <c r="F60" s="2"/>
      <c r="G60" s="2"/>
    </row>
    <row r="61" spans="1:7" x14ac:dyDescent="0.25">
      <c r="A61" s="2" t="s">
        <v>60</v>
      </c>
      <c r="B61" s="2"/>
      <c r="C61" s="2"/>
      <c r="D61" s="2"/>
      <c r="E61" s="2"/>
      <c r="F61" s="2"/>
      <c r="G61" s="24"/>
    </row>
    <row r="62" spans="1:7" x14ac:dyDescent="0.25">
      <c r="A62" s="2" t="s">
        <v>61</v>
      </c>
      <c r="B62" s="2"/>
      <c r="C62" s="2"/>
      <c r="D62" s="2"/>
      <c r="E62" s="2"/>
      <c r="F62" s="2"/>
      <c r="G62" s="24"/>
    </row>
    <row r="63" spans="1:7" x14ac:dyDescent="0.25">
      <c r="A63" s="2" t="s">
        <v>62</v>
      </c>
      <c r="B63" s="2"/>
      <c r="C63" s="2"/>
      <c r="D63" s="2"/>
      <c r="E63" s="2"/>
      <c r="F63" s="25"/>
      <c r="G63" s="2"/>
    </row>
    <row r="64" spans="1:7" x14ac:dyDescent="0.25">
      <c r="A64" s="2" t="s">
        <v>63</v>
      </c>
      <c r="B64" s="2"/>
      <c r="C64" s="2"/>
      <c r="D64" s="2"/>
      <c r="E64" s="2"/>
      <c r="F64" s="2"/>
      <c r="G64" s="2"/>
    </row>
    <row r="65" spans="1:7" x14ac:dyDescent="0.25">
      <c r="A65" s="2" t="s">
        <v>85</v>
      </c>
      <c r="B65" s="2"/>
      <c r="C65" s="2"/>
      <c r="D65" s="2"/>
      <c r="E65" s="2"/>
      <c r="F65" s="2"/>
      <c r="G65" s="2"/>
    </row>
    <row r="66" spans="1:7" x14ac:dyDescent="0.25">
      <c r="A66" s="40" t="s">
        <v>86</v>
      </c>
      <c r="B66" s="41"/>
      <c r="C66" s="41"/>
      <c r="D66" s="42"/>
      <c r="E66" s="2"/>
      <c r="F66" s="2"/>
      <c r="G66" s="2"/>
    </row>
    <row r="67" spans="1:7" x14ac:dyDescent="0.25">
      <c r="A67" s="40" t="s">
        <v>87</v>
      </c>
      <c r="B67" s="41"/>
      <c r="C67" s="41"/>
      <c r="D67" s="42"/>
      <c r="E67" s="2"/>
      <c r="F67" s="2"/>
      <c r="G67" s="2"/>
    </row>
    <row r="68" spans="1:7" x14ac:dyDescent="0.25">
      <c r="A68" s="37" t="s">
        <v>64</v>
      </c>
      <c r="B68" s="38"/>
      <c r="C68" s="38"/>
      <c r="D68" s="39"/>
      <c r="E68" s="2"/>
      <c r="F68" s="2"/>
      <c r="G68" s="2"/>
    </row>
    <row r="69" spans="1:7" x14ac:dyDescent="0.25">
      <c r="C69" s="26"/>
      <c r="D69" s="26"/>
      <c r="E69" s="26"/>
    </row>
  </sheetData>
  <mergeCells count="4">
    <mergeCell ref="A68:D68"/>
    <mergeCell ref="A1:M1"/>
    <mergeCell ref="E25:F25"/>
    <mergeCell ref="B23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7E1D-251E-4F74-AFE5-3E4B7B496736}">
  <dimension ref="A7:D22"/>
  <sheetViews>
    <sheetView workbookViewId="0">
      <selection activeCell="D18" sqref="D18"/>
    </sheetView>
  </sheetViews>
  <sheetFormatPr defaultRowHeight="15" x14ac:dyDescent="0.25"/>
  <cols>
    <col min="4" max="4" width="23.42578125" bestFit="1" customWidth="1"/>
  </cols>
  <sheetData>
    <row r="7" spans="1:4" x14ac:dyDescent="0.25">
      <c r="C7" s="18"/>
      <c r="D7" s="18" t="s">
        <v>75</v>
      </c>
    </row>
    <row r="8" spans="1:4" x14ac:dyDescent="0.25">
      <c r="A8" t="s">
        <v>74</v>
      </c>
      <c r="C8" s="18"/>
      <c r="D8" t="s">
        <v>91</v>
      </c>
    </row>
    <row r="9" spans="1:4" x14ac:dyDescent="0.25">
      <c r="A9" t="s">
        <v>76</v>
      </c>
      <c r="C9" s="18">
        <v>40</v>
      </c>
      <c r="D9" s="18">
        <f>C9*1.5</f>
        <v>60</v>
      </c>
    </row>
    <row r="10" spans="1:4" x14ac:dyDescent="0.25">
      <c r="A10" t="s">
        <v>77</v>
      </c>
      <c r="C10" s="18">
        <v>30</v>
      </c>
      <c r="D10" s="18">
        <f t="shared" ref="D10:D12" si="0">C10*1.5</f>
        <v>45</v>
      </c>
    </row>
    <row r="11" spans="1:4" x14ac:dyDescent="0.25">
      <c r="A11" t="s">
        <v>77</v>
      </c>
      <c r="C11" s="18">
        <v>25</v>
      </c>
      <c r="D11" s="18">
        <f t="shared" si="0"/>
        <v>37.5</v>
      </c>
    </row>
    <row r="12" spans="1:4" x14ac:dyDescent="0.25">
      <c r="A12" t="s">
        <v>77</v>
      </c>
      <c r="C12" s="18">
        <v>20</v>
      </c>
      <c r="D12" s="18">
        <f t="shared" si="0"/>
        <v>30</v>
      </c>
    </row>
    <row r="13" spans="1:4" x14ac:dyDescent="0.25">
      <c r="C13" s="18"/>
      <c r="D13" s="18">
        <f>SUM(D9:D12)</f>
        <v>172.5</v>
      </c>
    </row>
    <row r="14" spans="1:4" x14ac:dyDescent="0.25">
      <c r="A14" t="s">
        <v>78</v>
      </c>
      <c r="C14" s="18"/>
      <c r="D14" s="18">
        <f>D13*8</f>
        <v>1380</v>
      </c>
    </row>
    <row r="15" spans="1:4" x14ac:dyDescent="0.25">
      <c r="A15" t="s">
        <v>79</v>
      </c>
      <c r="C15" s="18"/>
      <c r="D15" s="18">
        <f>D14*5</f>
        <v>6900</v>
      </c>
    </row>
    <row r="16" spans="1:4" x14ac:dyDescent="0.25">
      <c r="C16" s="18"/>
      <c r="D16" s="18" t="s">
        <v>92</v>
      </c>
    </row>
    <row r="17" spans="1:4" x14ac:dyDescent="0.25">
      <c r="C17" s="18"/>
      <c r="D17" t="s">
        <v>93</v>
      </c>
    </row>
    <row r="18" spans="1:4" x14ac:dyDescent="0.25">
      <c r="A18" t="s">
        <v>80</v>
      </c>
      <c r="C18" s="18"/>
      <c r="D18" s="18">
        <v>500</v>
      </c>
    </row>
    <row r="19" spans="1:4" x14ac:dyDescent="0.25">
      <c r="A19" t="s">
        <v>81</v>
      </c>
      <c r="C19" s="18"/>
      <c r="D19" s="18">
        <f>D18*5</f>
        <v>2500</v>
      </c>
    </row>
    <row r="20" spans="1:4" x14ac:dyDescent="0.25">
      <c r="C20" s="18"/>
      <c r="D20" s="18"/>
    </row>
    <row r="21" spans="1:4" x14ac:dyDescent="0.25">
      <c r="A21" t="s">
        <v>82</v>
      </c>
      <c r="C21" s="18"/>
      <c r="D21" s="18">
        <f>D14+D18</f>
        <v>1880</v>
      </c>
    </row>
    <row r="22" spans="1:4" x14ac:dyDescent="0.25">
      <c r="A22" t="s">
        <v>83</v>
      </c>
      <c r="C22" s="18"/>
      <c r="D22" s="18">
        <f>D15+D19</f>
        <v>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Labor&amp;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Porter</dc:creator>
  <cp:lastModifiedBy>Mark Porter</cp:lastModifiedBy>
  <dcterms:created xsi:type="dcterms:W3CDTF">2026-04-06T13:10:55Z</dcterms:created>
  <dcterms:modified xsi:type="dcterms:W3CDTF">2026-04-06T15:46:04Z</dcterms:modified>
</cp:coreProperties>
</file>